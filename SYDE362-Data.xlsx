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ckeydang/Desktop/"/>
    </mc:Choice>
  </mc:AlternateContent>
  <xr:revisionPtr revIDLastSave="0" documentId="13_ncr:1_{3C6A06C5-F72B-DA4C-9CD6-B881C7328B56}" xr6:coauthVersionLast="46" xr6:coauthVersionMax="46" xr10:uidLastSave="{00000000-0000-0000-0000-000000000000}"/>
  <bookViews>
    <workbookView xWindow="-38400" yWindow="-3600" windowWidth="38400" windowHeight="21600" activeTab="2" xr2:uid="{54299708-CB94-DB47-9778-12C0C113018F}"/>
  </bookViews>
  <sheets>
    <sheet name="Raw - No Reflector" sheetId="1" r:id="rId1"/>
    <sheet name="Raw - Reflector" sheetId="2" r:id="rId2"/>
    <sheet name="Summary" sheetId="3" r:id="rId3"/>
  </sheets>
  <definedNames>
    <definedName name="_xlchart.v1.0" hidden="1">Summary!$D$2:$D$31</definedName>
    <definedName name="_xlchart.v1.1" hidden="1">Summary!$K$2:$K$31</definedName>
    <definedName name="_xlchart.v1.10" hidden="1">Summary!$D$2:$D$31</definedName>
    <definedName name="_xlchart.v1.11" hidden="1">Summary!$K$2:$K$31</definedName>
    <definedName name="_xlchart.v1.2" hidden="1">Summary!$D$2:$D$31</definedName>
    <definedName name="_xlchart.v1.3" hidden="1">Summary!$K$2:$K$31</definedName>
    <definedName name="_xlchart.v1.4" hidden="1">Summary!$D$2:$D$31</definedName>
    <definedName name="_xlchart.v1.5" hidden="1">Summary!$K$2:$K$31</definedName>
    <definedName name="_xlchart.v1.6" hidden="1">Summary!$D$2:$D$31</definedName>
    <definedName name="_xlchart.v1.7" hidden="1">Summary!$K$2:$K$31</definedName>
    <definedName name="_xlchart.v1.8" hidden="1">Summary!$D$2:$D$31</definedName>
    <definedName name="_xlchart.v1.9" hidden="1">Summary!$K$2:$K$31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5" i="3" l="1"/>
  <c r="J35" i="3"/>
  <c r="K35" i="3"/>
  <c r="L35" i="3"/>
  <c r="M35" i="3"/>
  <c r="I34" i="3"/>
  <c r="J34" i="3"/>
  <c r="K34" i="3"/>
  <c r="L34" i="3"/>
  <c r="M34" i="3"/>
  <c r="C35" i="3"/>
  <c r="D35" i="3"/>
  <c r="E35" i="3"/>
  <c r="F35" i="3"/>
  <c r="B35" i="3"/>
  <c r="B34" i="3"/>
  <c r="C34" i="3"/>
  <c r="D34" i="3"/>
  <c r="E34" i="3"/>
  <c r="F34" i="3"/>
</calcChain>
</file>

<file path=xl/sharedStrings.xml><?xml version="1.0" encoding="utf-8"?>
<sst xmlns="http://schemas.openxmlformats.org/spreadsheetml/2006/main" count="166" uniqueCount="61">
  <si>
    <t>None</t>
  </si>
  <si>
    <t>Reflector</t>
  </si>
  <si>
    <t>Average</t>
  </si>
  <si>
    <t>STD DEV</t>
  </si>
  <si>
    <t xml:space="preserve"> -45 deg</t>
  </si>
  <si>
    <t xml:space="preserve"> -22.5 deg</t>
  </si>
  <si>
    <t xml:space="preserve"> 0 deg </t>
  </si>
  <si>
    <t xml:space="preserve"> 22.5 deg</t>
  </si>
  <si>
    <t xml:space="preserve"> 45 deg</t>
  </si>
  <si>
    <t>0 deg</t>
  </si>
  <si>
    <t>22.5 deg</t>
  </si>
  <si>
    <t>45 deg</t>
  </si>
  <si>
    <t>Variable 1</t>
  </si>
  <si>
    <t>Variable 2</t>
  </si>
  <si>
    <t>Mean</t>
  </si>
  <si>
    <t>Variance</t>
  </si>
  <si>
    <t>Observations</t>
  </si>
  <si>
    <t>df</t>
  </si>
  <si>
    <t>F</t>
  </si>
  <si>
    <t>P(F&lt;=f) one-tail</t>
  </si>
  <si>
    <t>F Critical one-tail</t>
  </si>
  <si>
    <t>F-Test Two-Sample for Variances (0 Deg)</t>
  </si>
  <si>
    <t>F &lt; F Critical one-tail</t>
  </si>
  <si>
    <t>Therefore, we keep null hypothesis</t>
  </si>
  <si>
    <t>t-Test: Two-Sample Assuming Equal Variances</t>
  </si>
  <si>
    <t>Pooled Variance</t>
  </si>
  <si>
    <t>Hypothesized Mean Difference</t>
  </si>
  <si>
    <t>t Stat</t>
  </si>
  <si>
    <t>P(T&lt;=t) one-tail</t>
  </si>
  <si>
    <t>t Critical one-tail</t>
  </si>
  <si>
    <t>P(T&lt;=t) two-tail</t>
  </si>
  <si>
    <t>t Critical two-tail</t>
  </si>
  <si>
    <t>t Stat &gt; t Crit 2-tail &gt; t Crit 1-tail</t>
  </si>
  <si>
    <t>The reflector is actually worse at 2m away</t>
  </si>
  <si>
    <t>Fail design requirements</t>
  </si>
  <si>
    <t>Therefore, keep null hypothesis</t>
  </si>
  <si>
    <t>F-Test Two-Sample for Variances (22.5 deg)</t>
  </si>
  <si>
    <t>Abs value exceeds both tests!</t>
  </si>
  <si>
    <t>Therefore, still does not meet design requirement</t>
  </si>
  <si>
    <t>F-Test Two-Sample for Variances (45 deg)</t>
  </si>
  <si>
    <t>Current difference not 3dBm, even if statistically different</t>
  </si>
  <si>
    <t>Therefore, reject null hypothesis -&gt; these are different!</t>
  </si>
  <si>
    <t>Reflector is actually worse!</t>
  </si>
  <si>
    <t>Therefore, reject null hypothesis -&gt; these are different</t>
  </si>
  <si>
    <t>Passes both the two tail and one tail tests!</t>
  </si>
  <si>
    <t>F-Test Two-Sample for Variances (-22.5 deg)</t>
  </si>
  <si>
    <t>F &gt; F Critical one-tail</t>
  </si>
  <si>
    <t>Therefore, reject null hypothesis, Different variances!</t>
  </si>
  <si>
    <t>Same variances</t>
  </si>
  <si>
    <t>Abs(t Stat) &gt; t Critical two-tail</t>
  </si>
  <si>
    <t>Reject null hypothesis</t>
  </si>
  <si>
    <t>Reflector is better!</t>
  </si>
  <si>
    <t>t-Test: Two-Sample Assuming Unequal Variances</t>
  </si>
  <si>
    <t>t Stat &gt; t critical two-tail</t>
  </si>
  <si>
    <t>F-Test Two-Sample for Variances (-45 deg)</t>
  </si>
  <si>
    <t>Same varriances</t>
  </si>
  <si>
    <t xml:space="preserve">Reject null hypothesis </t>
  </si>
  <si>
    <t>Difference is smaller than 3dBm</t>
  </si>
  <si>
    <t>Difference, is less than 6dBm</t>
  </si>
  <si>
    <t>Fails design requirement</t>
  </si>
  <si>
    <t>Conclusion, on all metrics, although certain angles have staistically significant differences, they are not close to the required design requirements. In fact, the 0 degree one is slightly worse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</si>
</sst>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quotePrefix="1" applyFont="1"/>
    <xf numFmtId="0" fontId="1" fillId="0" borderId="0" xfId="0" quotePrefix="1" applyFont="1"/>
    <xf numFmtId="0" fontId="0" fillId="2" borderId="0" xfId="0" applyFill="1"/>
    <xf numFmtId="0" fontId="3" fillId="2" borderId="0" xfId="0" applyFont="1" applyFill="1"/>
    <xf numFmtId="0" fontId="0" fillId="0" borderId="0" xfId="0" applyFill="1" applyBorder="1" applyAlignment="1"/>
    <xf numFmtId="0" fontId="0" fillId="0" borderId="1" xfId="0" applyFill="1" applyBorder="1" applyAlignment="1"/>
    <xf numFmtId="0" fontId="4" fillId="0" borderId="2" xfId="0" applyFont="1" applyFill="1" applyBorder="1" applyAlignment="1">
      <alignment horizontal="center"/>
    </xf>
    <xf numFmtId="0" fontId="5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  <cx:data id="1">
      <cx:numDim type="val">
        <cx:f>_xlchart.v1.1</cx:f>
      </cx:numDim>
    </cx:data>
  </cx:chartData>
  <cx:chart>
    <cx:title pos="t" align="ctr" overlay="0">
      <cx:tx>
        <cx:txData>
          <cx:v>Box and Whister Plot of RSSI Values (dBm) Collected at 2m and 0 deg From Router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Box and Whister Plot of RSSI Values (dBm) Collected at 2m and 0 deg From Router</a:t>
          </a:r>
        </a:p>
      </cx:txPr>
    </cx:title>
    <cx:plotArea>
      <cx:plotAreaRegion>
        <cx:series layoutId="boxWhisker" uniqueId="{70E54ED5-77AA-7649-BF66-A7F0F207A569}">
          <cx:tx>
            <cx:txData>
              <cx:v>With Reflector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9A3B8308-EB92-7146-8241-EB44DB0E4A64}">
          <cx:tx>
            <cx:txData>
              <cx:v>No Reflector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  <cx:legend pos="b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874347</xdr:colOff>
      <xdr:row>2</xdr:row>
      <xdr:rowOff>19539</xdr:rowOff>
    </xdr:from>
    <xdr:to>
      <xdr:col>20</xdr:col>
      <xdr:colOff>547077</xdr:colOff>
      <xdr:row>26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6865209E-9D83-F84D-BD6E-4736498365F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639193" y="429847"/>
              <a:ext cx="7214576" cy="490415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52778-C8D5-854C-AB38-CB644B29F014}">
  <dimension ref="A1:F31"/>
  <sheetViews>
    <sheetView topLeftCell="A4" zoomScale="150" zoomScaleNormal="150" workbookViewId="0">
      <selection activeCell="E18" sqref="E18"/>
    </sheetView>
  </sheetViews>
  <sheetFormatPr baseColWidth="10" defaultRowHeight="16" x14ac:dyDescent="0.2"/>
  <cols>
    <col min="1" max="1" width="3.1640625" style="1" bestFit="1" customWidth="1"/>
    <col min="2" max="2" width="15.6640625" customWidth="1"/>
    <col min="3" max="3" width="16.33203125" customWidth="1"/>
    <col min="4" max="4" width="16.5" customWidth="1"/>
    <col min="5" max="5" width="18" customWidth="1"/>
    <col min="6" max="6" width="18.1640625" customWidth="1"/>
  </cols>
  <sheetData>
    <row r="1" spans="1:6" x14ac:dyDescent="0.2">
      <c r="B1" s="1">
        <v>-45</v>
      </c>
      <c r="C1" s="1">
        <v>-22.5</v>
      </c>
      <c r="D1" s="1">
        <v>0</v>
      </c>
      <c r="E1" s="1">
        <v>22.5</v>
      </c>
      <c r="F1" s="1">
        <v>45</v>
      </c>
    </row>
    <row r="2" spans="1:6" x14ac:dyDescent="0.2">
      <c r="A2" s="1">
        <v>1</v>
      </c>
      <c r="B2">
        <v>-39</v>
      </c>
      <c r="C2">
        <v>-38</v>
      </c>
      <c r="D2">
        <v>-36</v>
      </c>
      <c r="E2">
        <v>-38</v>
      </c>
      <c r="F2">
        <v>-38</v>
      </c>
    </row>
    <row r="3" spans="1:6" x14ac:dyDescent="0.2">
      <c r="A3" s="1">
        <v>2</v>
      </c>
      <c r="B3">
        <v>-39</v>
      </c>
      <c r="C3">
        <v>-36</v>
      </c>
      <c r="D3">
        <v>-35</v>
      </c>
      <c r="E3">
        <v>-38</v>
      </c>
      <c r="F3">
        <v>-40</v>
      </c>
    </row>
    <row r="4" spans="1:6" x14ac:dyDescent="0.2">
      <c r="A4" s="1">
        <v>3</v>
      </c>
      <c r="B4">
        <v>-39</v>
      </c>
      <c r="C4">
        <v>-35</v>
      </c>
      <c r="D4">
        <v>-35</v>
      </c>
      <c r="E4">
        <v>-39</v>
      </c>
      <c r="F4">
        <v>-40</v>
      </c>
    </row>
    <row r="5" spans="1:6" x14ac:dyDescent="0.2">
      <c r="A5" s="1">
        <v>4</v>
      </c>
      <c r="B5">
        <v>-38</v>
      </c>
      <c r="C5">
        <v>-38</v>
      </c>
      <c r="D5">
        <v>-35</v>
      </c>
      <c r="E5">
        <v>-40</v>
      </c>
      <c r="F5">
        <v>-40</v>
      </c>
    </row>
    <row r="6" spans="1:6" x14ac:dyDescent="0.2">
      <c r="A6" s="1">
        <v>5</v>
      </c>
      <c r="B6">
        <v>-39</v>
      </c>
      <c r="C6">
        <v>-38</v>
      </c>
      <c r="D6">
        <v>-34</v>
      </c>
      <c r="E6">
        <v>-37</v>
      </c>
      <c r="F6">
        <v>-40</v>
      </c>
    </row>
    <row r="7" spans="1:6" x14ac:dyDescent="0.2">
      <c r="A7" s="1">
        <v>6</v>
      </c>
      <c r="B7">
        <v>-39</v>
      </c>
      <c r="C7">
        <v>-36</v>
      </c>
      <c r="D7">
        <v>-35</v>
      </c>
      <c r="E7">
        <v>-38</v>
      </c>
      <c r="F7">
        <v>-39</v>
      </c>
    </row>
    <row r="8" spans="1:6" x14ac:dyDescent="0.2">
      <c r="A8" s="1">
        <v>7</v>
      </c>
      <c r="B8">
        <v>-39</v>
      </c>
      <c r="C8">
        <v>-35</v>
      </c>
      <c r="D8">
        <v>-34</v>
      </c>
      <c r="E8">
        <v>-37</v>
      </c>
      <c r="F8">
        <v>-40</v>
      </c>
    </row>
    <row r="9" spans="1:6" x14ac:dyDescent="0.2">
      <c r="A9" s="1">
        <v>8</v>
      </c>
      <c r="B9">
        <v>-39</v>
      </c>
      <c r="C9">
        <v>-35</v>
      </c>
      <c r="D9">
        <v>-34</v>
      </c>
      <c r="E9">
        <v>-38</v>
      </c>
      <c r="F9">
        <v>-40</v>
      </c>
    </row>
    <row r="10" spans="1:6" x14ac:dyDescent="0.2">
      <c r="A10" s="1">
        <v>9</v>
      </c>
      <c r="B10">
        <v>-40</v>
      </c>
      <c r="C10">
        <v>-36</v>
      </c>
      <c r="D10">
        <v>-32</v>
      </c>
      <c r="E10">
        <v>-38</v>
      </c>
      <c r="F10">
        <v>-127</v>
      </c>
    </row>
    <row r="11" spans="1:6" x14ac:dyDescent="0.2">
      <c r="A11" s="1">
        <v>10</v>
      </c>
      <c r="B11">
        <v>-40</v>
      </c>
      <c r="C11">
        <v>-36</v>
      </c>
      <c r="D11">
        <v>-33</v>
      </c>
      <c r="E11">
        <v>-38</v>
      </c>
      <c r="F11">
        <v>-42</v>
      </c>
    </row>
    <row r="12" spans="1:6" x14ac:dyDescent="0.2">
      <c r="A12" s="1">
        <v>11</v>
      </c>
      <c r="B12">
        <v>-39</v>
      </c>
      <c r="C12">
        <v>-36</v>
      </c>
      <c r="D12">
        <v>-34</v>
      </c>
      <c r="E12">
        <v>-38</v>
      </c>
      <c r="F12">
        <v>-41</v>
      </c>
    </row>
    <row r="13" spans="1:6" x14ac:dyDescent="0.2">
      <c r="A13" s="1">
        <v>12</v>
      </c>
      <c r="B13">
        <v>-40</v>
      </c>
      <c r="C13">
        <v>-35</v>
      </c>
      <c r="D13">
        <v>-34</v>
      </c>
      <c r="E13">
        <v>-38</v>
      </c>
      <c r="F13">
        <v>-41</v>
      </c>
    </row>
    <row r="14" spans="1:6" x14ac:dyDescent="0.2">
      <c r="A14" s="1">
        <v>13</v>
      </c>
      <c r="B14">
        <v>-39</v>
      </c>
      <c r="C14">
        <v>-35</v>
      </c>
      <c r="D14">
        <v>-34</v>
      </c>
      <c r="E14">
        <v>-39</v>
      </c>
      <c r="F14">
        <v>-41</v>
      </c>
    </row>
    <row r="15" spans="1:6" x14ac:dyDescent="0.2">
      <c r="A15" s="1">
        <v>14</v>
      </c>
      <c r="B15">
        <v>-39</v>
      </c>
      <c r="C15">
        <v>-37</v>
      </c>
      <c r="D15">
        <v>-34</v>
      </c>
      <c r="E15">
        <v>-37</v>
      </c>
      <c r="F15">
        <v>-40</v>
      </c>
    </row>
    <row r="16" spans="1:6" x14ac:dyDescent="0.2">
      <c r="A16" s="1">
        <v>15</v>
      </c>
      <c r="B16">
        <v>-39</v>
      </c>
      <c r="C16">
        <v>-35</v>
      </c>
      <c r="D16">
        <v>-35</v>
      </c>
      <c r="E16">
        <v>-38</v>
      </c>
      <c r="F16">
        <v>-39</v>
      </c>
    </row>
    <row r="17" spans="1:6" x14ac:dyDescent="0.2">
      <c r="A17" s="1">
        <v>16</v>
      </c>
      <c r="B17">
        <v>-127</v>
      </c>
      <c r="C17">
        <v>-37</v>
      </c>
      <c r="D17">
        <v>-34</v>
      </c>
      <c r="E17">
        <v>-38</v>
      </c>
      <c r="F17">
        <v>-40</v>
      </c>
    </row>
    <row r="18" spans="1:6" x14ac:dyDescent="0.2">
      <c r="A18" s="1">
        <v>17</v>
      </c>
      <c r="B18">
        <v>-41</v>
      </c>
      <c r="C18">
        <v>-37</v>
      </c>
      <c r="D18">
        <v>-34</v>
      </c>
      <c r="E18">
        <v>-38</v>
      </c>
      <c r="F18">
        <v>-39</v>
      </c>
    </row>
    <row r="19" spans="1:6" x14ac:dyDescent="0.2">
      <c r="A19" s="1">
        <v>18</v>
      </c>
      <c r="B19">
        <v>-41</v>
      </c>
      <c r="C19">
        <v>-36</v>
      </c>
      <c r="D19">
        <v>-35</v>
      </c>
      <c r="E19">
        <v>-38</v>
      </c>
      <c r="F19">
        <v>-40</v>
      </c>
    </row>
    <row r="20" spans="1:6" x14ac:dyDescent="0.2">
      <c r="A20" s="1">
        <v>19</v>
      </c>
      <c r="B20">
        <v>-41</v>
      </c>
      <c r="C20">
        <v>-36</v>
      </c>
      <c r="D20">
        <v>-34</v>
      </c>
      <c r="E20">
        <v>-38</v>
      </c>
      <c r="F20">
        <v>-40</v>
      </c>
    </row>
    <row r="21" spans="1:6" x14ac:dyDescent="0.2">
      <c r="A21" s="1">
        <v>20</v>
      </c>
      <c r="B21">
        <v>-40</v>
      </c>
      <c r="C21">
        <v>-37</v>
      </c>
      <c r="D21">
        <v>-35</v>
      </c>
      <c r="E21">
        <v>-38</v>
      </c>
      <c r="F21">
        <v>-39</v>
      </c>
    </row>
    <row r="22" spans="1:6" x14ac:dyDescent="0.2">
      <c r="A22" s="1">
        <v>21</v>
      </c>
      <c r="B22">
        <v>-39</v>
      </c>
      <c r="C22">
        <v>-36</v>
      </c>
      <c r="D22">
        <v>-35</v>
      </c>
      <c r="E22">
        <v>-37</v>
      </c>
      <c r="F22">
        <v>-40</v>
      </c>
    </row>
    <row r="23" spans="1:6" x14ac:dyDescent="0.2">
      <c r="A23" s="1">
        <v>22</v>
      </c>
      <c r="B23">
        <v>-39</v>
      </c>
      <c r="C23">
        <v>-34</v>
      </c>
      <c r="D23">
        <v>-38</v>
      </c>
      <c r="E23">
        <v>-37</v>
      </c>
      <c r="F23">
        <v>-39</v>
      </c>
    </row>
    <row r="24" spans="1:6" x14ac:dyDescent="0.2">
      <c r="A24" s="1">
        <v>23</v>
      </c>
      <c r="B24">
        <v>-39</v>
      </c>
      <c r="C24">
        <v>-34</v>
      </c>
      <c r="D24">
        <v>-34</v>
      </c>
      <c r="E24">
        <v>-38</v>
      </c>
      <c r="F24">
        <v>-39</v>
      </c>
    </row>
    <row r="25" spans="1:6" x14ac:dyDescent="0.2">
      <c r="A25" s="1">
        <v>24</v>
      </c>
      <c r="B25">
        <v>-39</v>
      </c>
      <c r="C25">
        <v>-34</v>
      </c>
      <c r="D25">
        <v>-34</v>
      </c>
      <c r="E25">
        <v>-38</v>
      </c>
      <c r="F25">
        <v>-40</v>
      </c>
    </row>
    <row r="26" spans="1:6" x14ac:dyDescent="0.2">
      <c r="A26" s="1">
        <v>25</v>
      </c>
      <c r="B26">
        <v>-40</v>
      </c>
      <c r="C26">
        <v>-34</v>
      </c>
      <c r="D26">
        <v>-33</v>
      </c>
      <c r="E26">
        <v>-38</v>
      </c>
      <c r="F26">
        <v>-39</v>
      </c>
    </row>
    <row r="27" spans="1:6" x14ac:dyDescent="0.2">
      <c r="A27" s="1">
        <v>26</v>
      </c>
      <c r="B27">
        <v>-40</v>
      </c>
      <c r="C27">
        <v>-33</v>
      </c>
      <c r="D27">
        <v>-34</v>
      </c>
      <c r="E27">
        <v>-38</v>
      </c>
      <c r="F27">
        <v>-39</v>
      </c>
    </row>
    <row r="28" spans="1:6" x14ac:dyDescent="0.2">
      <c r="A28" s="1">
        <v>27</v>
      </c>
      <c r="B28">
        <v>-39</v>
      </c>
      <c r="C28">
        <v>-34</v>
      </c>
      <c r="D28">
        <v>-34</v>
      </c>
      <c r="E28">
        <v>-38</v>
      </c>
      <c r="F28">
        <v>-39</v>
      </c>
    </row>
    <row r="29" spans="1:6" x14ac:dyDescent="0.2">
      <c r="A29" s="1">
        <v>28</v>
      </c>
      <c r="B29">
        <v>-40</v>
      </c>
      <c r="C29">
        <v>-33</v>
      </c>
      <c r="D29">
        <v>-35</v>
      </c>
      <c r="E29">
        <v>-127</v>
      </c>
      <c r="F29">
        <v>-39</v>
      </c>
    </row>
    <row r="30" spans="1:6" x14ac:dyDescent="0.2">
      <c r="A30" s="1">
        <v>29</v>
      </c>
      <c r="B30">
        <v>-39</v>
      </c>
      <c r="C30">
        <v>-34</v>
      </c>
      <c r="D30">
        <v>-35</v>
      </c>
      <c r="E30">
        <v>-39</v>
      </c>
      <c r="F30">
        <v>-39</v>
      </c>
    </row>
    <row r="31" spans="1:6" x14ac:dyDescent="0.2">
      <c r="A31" s="1">
        <v>30</v>
      </c>
      <c r="B31">
        <v>-39</v>
      </c>
      <c r="C31">
        <v>-35</v>
      </c>
      <c r="D31">
        <v>-35</v>
      </c>
      <c r="E31">
        <v>-41</v>
      </c>
      <c r="F31">
        <v>-38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7A0CC-3D19-CE42-B467-BDFC71CF403D}">
  <dimension ref="A1:F31"/>
  <sheetViews>
    <sheetView topLeftCell="A19" zoomScale="180" zoomScaleNormal="180" workbookViewId="0">
      <selection activeCell="D21" sqref="D21"/>
    </sheetView>
  </sheetViews>
  <sheetFormatPr baseColWidth="10" defaultRowHeight="16" x14ac:dyDescent="0.2"/>
  <sheetData>
    <row r="1" spans="1:6" x14ac:dyDescent="0.2">
      <c r="A1" s="1"/>
      <c r="B1" s="1">
        <v>-45</v>
      </c>
      <c r="C1" s="1">
        <v>-22.5</v>
      </c>
      <c r="D1" s="1">
        <v>0</v>
      </c>
      <c r="E1" s="1">
        <v>22.5</v>
      </c>
      <c r="F1" s="1">
        <v>45</v>
      </c>
    </row>
    <row r="2" spans="1:6" x14ac:dyDescent="0.2">
      <c r="A2" s="1">
        <v>1</v>
      </c>
      <c r="B2">
        <v>-39</v>
      </c>
      <c r="C2">
        <v>-31</v>
      </c>
      <c r="D2">
        <v>-35</v>
      </c>
      <c r="E2">
        <v>-40</v>
      </c>
      <c r="F2">
        <v>-41</v>
      </c>
    </row>
    <row r="3" spans="1:6" x14ac:dyDescent="0.2">
      <c r="A3" s="1">
        <v>2</v>
      </c>
      <c r="B3">
        <v>-39</v>
      </c>
      <c r="C3">
        <v>-38</v>
      </c>
      <c r="D3">
        <v>-35</v>
      </c>
      <c r="E3">
        <v>-38</v>
      </c>
      <c r="F3">
        <v>-41</v>
      </c>
    </row>
    <row r="4" spans="1:6" x14ac:dyDescent="0.2">
      <c r="A4" s="1">
        <v>3</v>
      </c>
      <c r="B4">
        <v>-38</v>
      </c>
      <c r="C4">
        <v>-33</v>
      </c>
      <c r="D4">
        <v>-34</v>
      </c>
      <c r="E4">
        <v>-37</v>
      </c>
      <c r="F4">
        <v>-41</v>
      </c>
    </row>
    <row r="5" spans="1:6" x14ac:dyDescent="0.2">
      <c r="A5" s="1">
        <v>4</v>
      </c>
      <c r="B5">
        <v>-38</v>
      </c>
      <c r="C5">
        <v>-33</v>
      </c>
      <c r="D5">
        <v>-34</v>
      </c>
      <c r="E5">
        <v>-37</v>
      </c>
      <c r="F5">
        <v>-40</v>
      </c>
    </row>
    <row r="6" spans="1:6" x14ac:dyDescent="0.2">
      <c r="A6" s="1">
        <v>5</v>
      </c>
      <c r="B6">
        <v>-39</v>
      </c>
      <c r="C6">
        <v>-32</v>
      </c>
      <c r="D6">
        <v>-34</v>
      </c>
      <c r="E6">
        <v>-37</v>
      </c>
      <c r="F6">
        <v>-40</v>
      </c>
    </row>
    <row r="7" spans="1:6" x14ac:dyDescent="0.2">
      <c r="A7" s="1">
        <v>6</v>
      </c>
      <c r="B7">
        <v>-39</v>
      </c>
      <c r="C7">
        <v>-32</v>
      </c>
      <c r="D7">
        <v>-34</v>
      </c>
      <c r="E7">
        <v>-37</v>
      </c>
      <c r="F7">
        <v>-41</v>
      </c>
    </row>
    <row r="8" spans="1:6" x14ac:dyDescent="0.2">
      <c r="A8" s="1">
        <v>7</v>
      </c>
      <c r="B8">
        <v>-39</v>
      </c>
      <c r="C8">
        <v>-32</v>
      </c>
      <c r="D8">
        <v>-34</v>
      </c>
      <c r="E8">
        <v>-38</v>
      </c>
      <c r="F8">
        <v>-41</v>
      </c>
    </row>
    <row r="9" spans="1:6" x14ac:dyDescent="0.2">
      <c r="A9" s="1">
        <v>8</v>
      </c>
      <c r="B9">
        <v>-39</v>
      </c>
      <c r="C9">
        <v>-32</v>
      </c>
      <c r="D9">
        <v>-127</v>
      </c>
      <c r="E9">
        <v>-37</v>
      </c>
      <c r="F9">
        <v>-40</v>
      </c>
    </row>
    <row r="10" spans="1:6" x14ac:dyDescent="0.2">
      <c r="A10" s="1">
        <v>9</v>
      </c>
      <c r="B10">
        <v>-38</v>
      </c>
      <c r="C10">
        <v>-32</v>
      </c>
      <c r="D10">
        <v>-37</v>
      </c>
      <c r="E10">
        <v>-37</v>
      </c>
      <c r="F10">
        <v>-40</v>
      </c>
    </row>
    <row r="11" spans="1:6" x14ac:dyDescent="0.2">
      <c r="A11" s="1">
        <v>10</v>
      </c>
      <c r="B11">
        <v>-38</v>
      </c>
      <c r="C11">
        <v>-32</v>
      </c>
      <c r="D11">
        <v>-36</v>
      </c>
      <c r="E11">
        <v>-37</v>
      </c>
      <c r="F11">
        <v>-40</v>
      </c>
    </row>
    <row r="12" spans="1:6" x14ac:dyDescent="0.2">
      <c r="A12" s="1">
        <v>11</v>
      </c>
      <c r="B12">
        <v>-39</v>
      </c>
      <c r="C12">
        <v>-32</v>
      </c>
      <c r="D12">
        <v>-37</v>
      </c>
      <c r="E12">
        <v>-37</v>
      </c>
      <c r="F12">
        <v>-40</v>
      </c>
    </row>
    <row r="13" spans="1:6" x14ac:dyDescent="0.2">
      <c r="A13" s="1">
        <v>12</v>
      </c>
      <c r="B13">
        <v>-39</v>
      </c>
      <c r="C13">
        <v>-32</v>
      </c>
      <c r="D13">
        <v>-36</v>
      </c>
      <c r="E13">
        <v>-37</v>
      </c>
      <c r="F13">
        <v>-40</v>
      </c>
    </row>
    <row r="14" spans="1:6" x14ac:dyDescent="0.2">
      <c r="A14" s="1">
        <v>13</v>
      </c>
      <c r="B14">
        <v>-39</v>
      </c>
      <c r="C14">
        <v>-34</v>
      </c>
      <c r="D14">
        <v>-35</v>
      </c>
      <c r="E14">
        <v>-38</v>
      </c>
      <c r="F14">
        <v>-40</v>
      </c>
    </row>
    <row r="15" spans="1:6" x14ac:dyDescent="0.2">
      <c r="A15" s="1">
        <v>14</v>
      </c>
      <c r="B15">
        <v>-38</v>
      </c>
      <c r="C15">
        <v>-32</v>
      </c>
      <c r="D15">
        <v>-35</v>
      </c>
      <c r="E15">
        <v>-38</v>
      </c>
      <c r="F15">
        <v>-40</v>
      </c>
    </row>
    <row r="16" spans="1:6" x14ac:dyDescent="0.2">
      <c r="A16" s="1">
        <v>15</v>
      </c>
      <c r="B16">
        <v>-38</v>
      </c>
      <c r="C16">
        <v>-127</v>
      </c>
      <c r="D16">
        <v>-35</v>
      </c>
      <c r="E16">
        <v>-37</v>
      </c>
      <c r="F16">
        <v>-40</v>
      </c>
    </row>
    <row r="17" spans="1:6" x14ac:dyDescent="0.2">
      <c r="A17" s="1">
        <v>16</v>
      </c>
      <c r="B17">
        <v>-39</v>
      </c>
      <c r="C17">
        <v>-34</v>
      </c>
      <c r="D17">
        <v>-35</v>
      </c>
      <c r="E17">
        <v>-38</v>
      </c>
      <c r="F17">
        <v>-40</v>
      </c>
    </row>
    <row r="18" spans="1:6" x14ac:dyDescent="0.2">
      <c r="A18" s="1">
        <v>17</v>
      </c>
      <c r="B18">
        <v>-38</v>
      </c>
      <c r="C18">
        <v>-34</v>
      </c>
      <c r="D18">
        <v>-34</v>
      </c>
      <c r="E18">
        <v>-37</v>
      </c>
      <c r="F18">
        <v>-40</v>
      </c>
    </row>
    <row r="19" spans="1:6" x14ac:dyDescent="0.2">
      <c r="A19" s="1">
        <v>18</v>
      </c>
      <c r="B19">
        <v>-38</v>
      </c>
      <c r="C19">
        <v>-34</v>
      </c>
      <c r="D19">
        <v>-35</v>
      </c>
      <c r="E19">
        <v>-38</v>
      </c>
      <c r="F19">
        <v>-41</v>
      </c>
    </row>
    <row r="20" spans="1:6" x14ac:dyDescent="0.2">
      <c r="A20" s="1">
        <v>19</v>
      </c>
      <c r="B20">
        <v>-39</v>
      </c>
      <c r="C20">
        <v>-33</v>
      </c>
      <c r="D20">
        <v>-35</v>
      </c>
      <c r="E20">
        <v>-38</v>
      </c>
      <c r="F20">
        <v>-40</v>
      </c>
    </row>
    <row r="21" spans="1:6" x14ac:dyDescent="0.2">
      <c r="A21" s="1">
        <v>20</v>
      </c>
      <c r="B21">
        <v>-38</v>
      </c>
      <c r="C21">
        <v>-33</v>
      </c>
      <c r="D21">
        <v>-35</v>
      </c>
      <c r="E21">
        <v>-37</v>
      </c>
      <c r="F21">
        <v>-40</v>
      </c>
    </row>
    <row r="22" spans="1:6" x14ac:dyDescent="0.2">
      <c r="A22" s="1">
        <v>21</v>
      </c>
      <c r="B22">
        <v>-38</v>
      </c>
      <c r="C22">
        <v>-32</v>
      </c>
      <c r="D22">
        <v>-35</v>
      </c>
      <c r="E22">
        <v>-37</v>
      </c>
      <c r="F22">
        <v>-40</v>
      </c>
    </row>
    <row r="23" spans="1:6" x14ac:dyDescent="0.2">
      <c r="A23" s="1">
        <v>22</v>
      </c>
      <c r="B23">
        <v>-38</v>
      </c>
      <c r="C23">
        <v>-32</v>
      </c>
      <c r="D23">
        <v>-34</v>
      </c>
      <c r="E23">
        <v>-39</v>
      </c>
      <c r="F23">
        <v>-40</v>
      </c>
    </row>
    <row r="24" spans="1:6" x14ac:dyDescent="0.2">
      <c r="A24" s="1">
        <v>23</v>
      </c>
      <c r="B24">
        <v>-38</v>
      </c>
      <c r="C24">
        <v>-31</v>
      </c>
      <c r="D24">
        <v>-34</v>
      </c>
      <c r="E24">
        <v>-37</v>
      </c>
      <c r="F24">
        <v>-39</v>
      </c>
    </row>
    <row r="25" spans="1:6" x14ac:dyDescent="0.2">
      <c r="A25" s="1">
        <v>24</v>
      </c>
      <c r="B25">
        <v>-38</v>
      </c>
      <c r="C25">
        <v>-32</v>
      </c>
      <c r="D25">
        <v>-35</v>
      </c>
      <c r="E25">
        <v>-37</v>
      </c>
      <c r="F25">
        <v>-40</v>
      </c>
    </row>
    <row r="26" spans="1:6" x14ac:dyDescent="0.2">
      <c r="A26" s="1">
        <v>25</v>
      </c>
      <c r="B26">
        <v>-39</v>
      </c>
      <c r="C26">
        <v>-32</v>
      </c>
      <c r="D26">
        <v>-35</v>
      </c>
      <c r="E26">
        <v>-38</v>
      </c>
      <c r="F26">
        <v>-41</v>
      </c>
    </row>
    <row r="27" spans="1:6" x14ac:dyDescent="0.2">
      <c r="A27" s="1">
        <v>26</v>
      </c>
      <c r="B27">
        <v>-38</v>
      </c>
      <c r="C27">
        <v>-33</v>
      </c>
      <c r="D27">
        <v>-35</v>
      </c>
      <c r="E27">
        <v>-37</v>
      </c>
      <c r="F27">
        <v>-40</v>
      </c>
    </row>
    <row r="28" spans="1:6" x14ac:dyDescent="0.2">
      <c r="A28" s="1">
        <v>27</v>
      </c>
      <c r="B28">
        <v>-38</v>
      </c>
      <c r="C28">
        <v>-33</v>
      </c>
      <c r="D28">
        <v>-35</v>
      </c>
      <c r="E28">
        <v>-37</v>
      </c>
      <c r="F28">
        <v>-40</v>
      </c>
    </row>
    <row r="29" spans="1:6" x14ac:dyDescent="0.2">
      <c r="A29" s="1">
        <v>28</v>
      </c>
      <c r="B29">
        <v>-37</v>
      </c>
      <c r="C29">
        <v>-33</v>
      </c>
      <c r="D29">
        <v>-35</v>
      </c>
      <c r="E29">
        <v>-38</v>
      </c>
      <c r="F29">
        <v>-40</v>
      </c>
    </row>
    <row r="30" spans="1:6" x14ac:dyDescent="0.2">
      <c r="A30" s="1">
        <v>29</v>
      </c>
      <c r="B30">
        <v>-36</v>
      </c>
      <c r="C30">
        <v>-32</v>
      </c>
      <c r="D30">
        <v>-35</v>
      </c>
      <c r="E30">
        <v>-37</v>
      </c>
      <c r="F30">
        <v>-40</v>
      </c>
    </row>
    <row r="31" spans="1:6" x14ac:dyDescent="0.2">
      <c r="A31" s="1">
        <v>30</v>
      </c>
      <c r="B31">
        <v>-38</v>
      </c>
      <c r="C31">
        <v>-35</v>
      </c>
      <c r="D31">
        <v>-35</v>
      </c>
      <c r="E31">
        <v>-38</v>
      </c>
      <c r="F31">
        <v>-40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CE8DC-D2C8-0345-81F5-C871DDAF3DEF}">
  <dimension ref="A1:T75"/>
  <sheetViews>
    <sheetView tabSelected="1" topLeftCell="C1" zoomScale="130" zoomScaleNormal="130" workbookViewId="0">
      <selection activeCell="O31" sqref="O31"/>
    </sheetView>
  </sheetViews>
  <sheetFormatPr baseColWidth="10" defaultRowHeight="16" x14ac:dyDescent="0.2"/>
  <cols>
    <col min="2" max="2" width="28.83203125" customWidth="1"/>
    <col min="5" max="5" width="6.5" customWidth="1"/>
    <col min="6" max="6" width="18.6640625" customWidth="1"/>
    <col min="9" max="9" width="12.1640625" bestFit="1" customWidth="1"/>
    <col min="10" max="10" width="27.1640625" bestFit="1" customWidth="1"/>
    <col min="14" max="14" width="17.1640625" customWidth="1"/>
    <col min="16" max="16" width="11" customWidth="1"/>
    <col min="18" max="18" width="27.1640625" bestFit="1" customWidth="1"/>
  </cols>
  <sheetData>
    <row r="1" spans="1:13" x14ac:dyDescent="0.2">
      <c r="A1" s="2" t="s">
        <v>1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8</v>
      </c>
      <c r="H1" s="1" t="s">
        <v>0</v>
      </c>
      <c r="I1" s="5" t="s">
        <v>4</v>
      </c>
      <c r="J1" s="5" t="s">
        <v>5</v>
      </c>
      <c r="K1" s="1" t="s">
        <v>9</v>
      </c>
      <c r="L1" s="1" t="s">
        <v>10</v>
      </c>
      <c r="M1" s="1" t="s">
        <v>11</v>
      </c>
    </row>
    <row r="2" spans="1:13" x14ac:dyDescent="0.2">
      <c r="A2" s="2">
        <v>1</v>
      </c>
      <c r="B2" s="3">
        <v>-39</v>
      </c>
      <c r="C2" s="3">
        <v>-31</v>
      </c>
      <c r="D2" s="3">
        <v>-35</v>
      </c>
      <c r="E2" s="3">
        <v>-40</v>
      </c>
      <c r="F2" s="3">
        <v>-41</v>
      </c>
      <c r="H2" s="1">
        <v>1</v>
      </c>
      <c r="I2">
        <v>-39</v>
      </c>
      <c r="J2">
        <v>-38</v>
      </c>
      <c r="K2">
        <v>-36</v>
      </c>
      <c r="L2">
        <v>-38</v>
      </c>
      <c r="M2">
        <v>-38</v>
      </c>
    </row>
    <row r="3" spans="1:13" x14ac:dyDescent="0.2">
      <c r="A3" s="2">
        <v>2</v>
      </c>
      <c r="B3" s="3">
        <v>-39</v>
      </c>
      <c r="C3" s="3">
        <v>-38</v>
      </c>
      <c r="D3" s="3">
        <v>-35</v>
      </c>
      <c r="E3" s="3">
        <v>-38</v>
      </c>
      <c r="F3" s="3">
        <v>-41</v>
      </c>
      <c r="H3" s="1">
        <v>2</v>
      </c>
      <c r="I3">
        <v>-39</v>
      </c>
      <c r="J3">
        <v>-36</v>
      </c>
      <c r="K3">
        <v>-35</v>
      </c>
      <c r="L3">
        <v>-38</v>
      </c>
      <c r="M3">
        <v>-40</v>
      </c>
    </row>
    <row r="4" spans="1:13" x14ac:dyDescent="0.2">
      <c r="A4" s="2">
        <v>3</v>
      </c>
      <c r="B4" s="3">
        <v>-38</v>
      </c>
      <c r="C4" s="3">
        <v>-33</v>
      </c>
      <c r="D4" s="3">
        <v>-34</v>
      </c>
      <c r="E4" s="3">
        <v>-37</v>
      </c>
      <c r="F4" s="3">
        <v>-41</v>
      </c>
      <c r="H4" s="1">
        <v>3</v>
      </c>
      <c r="I4">
        <v>-39</v>
      </c>
      <c r="J4">
        <v>-35</v>
      </c>
      <c r="K4">
        <v>-35</v>
      </c>
      <c r="L4">
        <v>-39</v>
      </c>
      <c r="M4">
        <v>-40</v>
      </c>
    </row>
    <row r="5" spans="1:13" x14ac:dyDescent="0.2">
      <c r="A5" s="2">
        <v>4</v>
      </c>
      <c r="B5" s="3">
        <v>-38</v>
      </c>
      <c r="C5" s="3">
        <v>-33</v>
      </c>
      <c r="D5" s="3">
        <v>-34</v>
      </c>
      <c r="E5" s="3">
        <v>-37</v>
      </c>
      <c r="F5" s="3">
        <v>-40</v>
      </c>
      <c r="H5" s="1">
        <v>4</v>
      </c>
      <c r="I5">
        <v>-38</v>
      </c>
      <c r="J5">
        <v>-38</v>
      </c>
      <c r="K5">
        <v>-35</v>
      </c>
      <c r="L5">
        <v>-40</v>
      </c>
      <c r="M5">
        <v>-40</v>
      </c>
    </row>
    <row r="6" spans="1:13" x14ac:dyDescent="0.2">
      <c r="A6" s="2">
        <v>5</v>
      </c>
      <c r="B6" s="3">
        <v>-39</v>
      </c>
      <c r="C6" s="3">
        <v>-32</v>
      </c>
      <c r="D6" s="3">
        <v>-34</v>
      </c>
      <c r="E6" s="3">
        <v>-37</v>
      </c>
      <c r="F6" s="3">
        <v>-40</v>
      </c>
      <c r="H6" s="1">
        <v>5</v>
      </c>
      <c r="I6">
        <v>-39</v>
      </c>
      <c r="J6">
        <v>-38</v>
      </c>
      <c r="K6">
        <v>-34</v>
      </c>
      <c r="L6">
        <v>-37</v>
      </c>
      <c r="M6">
        <v>-40</v>
      </c>
    </row>
    <row r="7" spans="1:13" x14ac:dyDescent="0.2">
      <c r="A7" s="2">
        <v>6</v>
      </c>
      <c r="B7" s="3">
        <v>-39</v>
      </c>
      <c r="C7" s="3">
        <v>-32</v>
      </c>
      <c r="D7" s="3">
        <v>-34</v>
      </c>
      <c r="E7" s="3">
        <v>-37</v>
      </c>
      <c r="F7" s="3">
        <v>-41</v>
      </c>
      <c r="H7" s="1">
        <v>6</v>
      </c>
      <c r="I7">
        <v>-39</v>
      </c>
      <c r="J7">
        <v>-36</v>
      </c>
      <c r="K7">
        <v>-35</v>
      </c>
      <c r="L7">
        <v>-38</v>
      </c>
      <c r="M7">
        <v>-39</v>
      </c>
    </row>
    <row r="8" spans="1:13" x14ac:dyDescent="0.2">
      <c r="A8" s="2">
        <v>7</v>
      </c>
      <c r="B8" s="3">
        <v>-39</v>
      </c>
      <c r="C8" s="3">
        <v>-32</v>
      </c>
      <c r="D8" s="3">
        <v>-34</v>
      </c>
      <c r="E8" s="3">
        <v>-38</v>
      </c>
      <c r="F8" s="3">
        <v>-41</v>
      </c>
      <c r="H8" s="1">
        <v>7</v>
      </c>
      <c r="I8">
        <v>-39</v>
      </c>
      <c r="J8">
        <v>-35</v>
      </c>
      <c r="K8">
        <v>-34</v>
      </c>
      <c r="L8">
        <v>-37</v>
      </c>
      <c r="M8">
        <v>-40</v>
      </c>
    </row>
    <row r="9" spans="1:13" x14ac:dyDescent="0.2">
      <c r="A9" s="2">
        <v>8</v>
      </c>
      <c r="B9" s="3">
        <v>-39</v>
      </c>
      <c r="C9" s="3">
        <v>-32</v>
      </c>
      <c r="D9" s="7"/>
      <c r="E9" s="3">
        <v>-37</v>
      </c>
      <c r="F9" s="3">
        <v>-40</v>
      </c>
      <c r="H9" s="1">
        <v>8</v>
      </c>
      <c r="I9">
        <v>-39</v>
      </c>
      <c r="J9">
        <v>-35</v>
      </c>
      <c r="K9">
        <v>-34</v>
      </c>
      <c r="L9">
        <v>-38</v>
      </c>
      <c r="M9">
        <v>-40</v>
      </c>
    </row>
    <row r="10" spans="1:13" x14ac:dyDescent="0.2">
      <c r="A10" s="2">
        <v>9</v>
      </c>
      <c r="B10" s="3">
        <v>-38</v>
      </c>
      <c r="C10" s="3">
        <v>-32</v>
      </c>
      <c r="D10" s="3">
        <v>-37</v>
      </c>
      <c r="E10" s="3">
        <v>-37</v>
      </c>
      <c r="F10" s="3">
        <v>-40</v>
      </c>
      <c r="H10" s="1">
        <v>9</v>
      </c>
      <c r="I10">
        <v>-40</v>
      </c>
      <c r="J10">
        <v>-36</v>
      </c>
      <c r="K10">
        <v>-32</v>
      </c>
      <c r="L10">
        <v>-38</v>
      </c>
      <c r="M10" s="6"/>
    </row>
    <row r="11" spans="1:13" x14ac:dyDescent="0.2">
      <c r="A11" s="2">
        <v>10</v>
      </c>
      <c r="B11" s="3">
        <v>-38</v>
      </c>
      <c r="C11" s="3">
        <v>-32</v>
      </c>
      <c r="D11" s="3">
        <v>-36</v>
      </c>
      <c r="E11" s="3">
        <v>-37</v>
      </c>
      <c r="F11" s="3">
        <v>-40</v>
      </c>
      <c r="H11" s="1">
        <v>10</v>
      </c>
      <c r="I11">
        <v>-40</v>
      </c>
      <c r="J11">
        <v>-36</v>
      </c>
      <c r="K11">
        <v>-33</v>
      </c>
      <c r="L11">
        <v>-38</v>
      </c>
      <c r="M11">
        <v>-42</v>
      </c>
    </row>
    <row r="12" spans="1:13" x14ac:dyDescent="0.2">
      <c r="A12" s="2">
        <v>11</v>
      </c>
      <c r="B12" s="3">
        <v>-39</v>
      </c>
      <c r="C12" s="3">
        <v>-32</v>
      </c>
      <c r="D12" s="3">
        <v>-37</v>
      </c>
      <c r="E12" s="3">
        <v>-37</v>
      </c>
      <c r="F12" s="3">
        <v>-40</v>
      </c>
      <c r="H12" s="1">
        <v>11</v>
      </c>
      <c r="I12">
        <v>-39</v>
      </c>
      <c r="J12">
        <v>-36</v>
      </c>
      <c r="K12">
        <v>-34</v>
      </c>
      <c r="L12">
        <v>-38</v>
      </c>
      <c r="M12">
        <v>-41</v>
      </c>
    </row>
    <row r="13" spans="1:13" x14ac:dyDescent="0.2">
      <c r="A13" s="2">
        <v>12</v>
      </c>
      <c r="B13" s="3">
        <v>-39</v>
      </c>
      <c r="C13" s="3">
        <v>-32</v>
      </c>
      <c r="D13" s="3">
        <v>-36</v>
      </c>
      <c r="E13" s="3">
        <v>-37</v>
      </c>
      <c r="F13" s="3">
        <v>-40</v>
      </c>
      <c r="H13" s="1">
        <v>12</v>
      </c>
      <c r="I13">
        <v>-40</v>
      </c>
      <c r="J13">
        <v>-35</v>
      </c>
      <c r="K13">
        <v>-34</v>
      </c>
      <c r="L13">
        <v>-38</v>
      </c>
      <c r="M13">
        <v>-41</v>
      </c>
    </row>
    <row r="14" spans="1:13" x14ac:dyDescent="0.2">
      <c r="A14" s="2">
        <v>13</v>
      </c>
      <c r="B14" s="3">
        <v>-39</v>
      </c>
      <c r="C14" s="3">
        <v>-34</v>
      </c>
      <c r="D14" s="3">
        <v>-35</v>
      </c>
      <c r="E14" s="3">
        <v>-38</v>
      </c>
      <c r="F14" s="3">
        <v>-40</v>
      </c>
      <c r="H14" s="1">
        <v>13</v>
      </c>
      <c r="I14">
        <v>-39</v>
      </c>
      <c r="J14">
        <v>-35</v>
      </c>
      <c r="K14">
        <v>-34</v>
      </c>
      <c r="L14">
        <v>-39</v>
      </c>
      <c r="M14">
        <v>-41</v>
      </c>
    </row>
    <row r="15" spans="1:13" x14ac:dyDescent="0.2">
      <c r="A15" s="2">
        <v>14</v>
      </c>
      <c r="B15" s="3">
        <v>-38</v>
      </c>
      <c r="C15" s="3">
        <v>-32</v>
      </c>
      <c r="D15" s="3">
        <v>-35</v>
      </c>
      <c r="E15" s="3">
        <v>-38</v>
      </c>
      <c r="F15" s="3">
        <v>-40</v>
      </c>
      <c r="H15" s="1">
        <v>14</v>
      </c>
      <c r="I15">
        <v>-39</v>
      </c>
      <c r="J15">
        <v>-37</v>
      </c>
      <c r="K15">
        <v>-34</v>
      </c>
      <c r="L15">
        <v>-37</v>
      </c>
      <c r="M15">
        <v>-40</v>
      </c>
    </row>
    <row r="16" spans="1:13" x14ac:dyDescent="0.2">
      <c r="A16" s="2">
        <v>15</v>
      </c>
      <c r="B16" s="3">
        <v>-38</v>
      </c>
      <c r="C16" s="7"/>
      <c r="D16" s="3">
        <v>-35</v>
      </c>
      <c r="E16" s="3">
        <v>-37</v>
      </c>
      <c r="F16" s="3">
        <v>-40</v>
      </c>
      <c r="H16" s="1">
        <v>15</v>
      </c>
      <c r="I16">
        <v>-39</v>
      </c>
      <c r="J16">
        <v>-35</v>
      </c>
      <c r="K16">
        <v>-35</v>
      </c>
      <c r="L16">
        <v>-38</v>
      </c>
      <c r="M16">
        <v>-39</v>
      </c>
    </row>
    <row r="17" spans="1:13" x14ac:dyDescent="0.2">
      <c r="A17" s="2">
        <v>16</v>
      </c>
      <c r="B17" s="3">
        <v>-39</v>
      </c>
      <c r="C17" s="3">
        <v>-34</v>
      </c>
      <c r="D17" s="3">
        <v>-35</v>
      </c>
      <c r="E17" s="3">
        <v>-38</v>
      </c>
      <c r="F17" s="3">
        <v>-40</v>
      </c>
      <c r="H17" s="1">
        <v>16</v>
      </c>
      <c r="I17" s="6"/>
      <c r="J17">
        <v>-37</v>
      </c>
      <c r="K17">
        <v>-34</v>
      </c>
      <c r="L17">
        <v>-38</v>
      </c>
      <c r="M17">
        <v>-40</v>
      </c>
    </row>
    <row r="18" spans="1:13" x14ac:dyDescent="0.2">
      <c r="A18" s="2">
        <v>17</v>
      </c>
      <c r="B18" s="3">
        <v>-38</v>
      </c>
      <c r="C18" s="3">
        <v>-34</v>
      </c>
      <c r="D18" s="3">
        <v>-34</v>
      </c>
      <c r="E18" s="3">
        <v>-37</v>
      </c>
      <c r="F18" s="3">
        <v>-40</v>
      </c>
      <c r="H18" s="1">
        <v>17</v>
      </c>
      <c r="I18">
        <v>-41</v>
      </c>
      <c r="J18">
        <v>-37</v>
      </c>
      <c r="K18">
        <v>-34</v>
      </c>
      <c r="L18">
        <v>-38</v>
      </c>
      <c r="M18">
        <v>-39</v>
      </c>
    </row>
    <row r="19" spans="1:13" x14ac:dyDescent="0.2">
      <c r="A19" s="2">
        <v>18</v>
      </c>
      <c r="B19" s="3">
        <v>-38</v>
      </c>
      <c r="C19" s="3">
        <v>-34</v>
      </c>
      <c r="D19" s="3">
        <v>-35</v>
      </c>
      <c r="E19" s="3">
        <v>-38</v>
      </c>
      <c r="F19" s="3">
        <v>-41</v>
      </c>
      <c r="H19" s="1">
        <v>18</v>
      </c>
      <c r="I19">
        <v>-41</v>
      </c>
      <c r="J19">
        <v>-36</v>
      </c>
      <c r="K19">
        <v>-35</v>
      </c>
      <c r="L19">
        <v>-38</v>
      </c>
      <c r="M19">
        <v>-40</v>
      </c>
    </row>
    <row r="20" spans="1:13" x14ac:dyDescent="0.2">
      <c r="A20" s="2">
        <v>19</v>
      </c>
      <c r="B20" s="3">
        <v>-39</v>
      </c>
      <c r="C20" s="3">
        <v>-33</v>
      </c>
      <c r="D20" s="3">
        <v>-35</v>
      </c>
      <c r="E20" s="3">
        <v>-38</v>
      </c>
      <c r="F20" s="3">
        <v>-40</v>
      </c>
      <c r="H20" s="1">
        <v>19</v>
      </c>
      <c r="I20">
        <v>-41</v>
      </c>
      <c r="J20">
        <v>-36</v>
      </c>
      <c r="K20">
        <v>-34</v>
      </c>
      <c r="L20">
        <v>-38</v>
      </c>
      <c r="M20">
        <v>-40</v>
      </c>
    </row>
    <row r="21" spans="1:13" x14ac:dyDescent="0.2">
      <c r="A21" s="2">
        <v>20</v>
      </c>
      <c r="B21" s="3">
        <v>-38</v>
      </c>
      <c r="C21" s="3">
        <v>-33</v>
      </c>
      <c r="D21" s="3">
        <v>-35</v>
      </c>
      <c r="E21" s="3">
        <v>-37</v>
      </c>
      <c r="F21" s="3">
        <v>-40</v>
      </c>
      <c r="H21" s="1">
        <v>20</v>
      </c>
      <c r="I21">
        <v>-40</v>
      </c>
      <c r="J21">
        <v>-37</v>
      </c>
      <c r="K21">
        <v>-35</v>
      </c>
      <c r="L21">
        <v>-38</v>
      </c>
      <c r="M21">
        <v>-39</v>
      </c>
    </row>
    <row r="22" spans="1:13" x14ac:dyDescent="0.2">
      <c r="A22" s="2">
        <v>21</v>
      </c>
      <c r="B22" s="3">
        <v>-38</v>
      </c>
      <c r="C22" s="3">
        <v>-32</v>
      </c>
      <c r="D22" s="3">
        <v>-35</v>
      </c>
      <c r="E22" s="3">
        <v>-37</v>
      </c>
      <c r="F22" s="3">
        <v>-40</v>
      </c>
      <c r="H22" s="1">
        <v>21</v>
      </c>
      <c r="I22">
        <v>-39</v>
      </c>
      <c r="J22">
        <v>-36</v>
      </c>
      <c r="K22">
        <v>-35</v>
      </c>
      <c r="L22">
        <v>-37</v>
      </c>
      <c r="M22">
        <v>-40</v>
      </c>
    </row>
    <row r="23" spans="1:13" x14ac:dyDescent="0.2">
      <c r="A23" s="2">
        <v>22</v>
      </c>
      <c r="B23" s="3">
        <v>-38</v>
      </c>
      <c r="C23" s="3">
        <v>-32</v>
      </c>
      <c r="D23" s="3">
        <v>-34</v>
      </c>
      <c r="E23" s="3">
        <v>-39</v>
      </c>
      <c r="F23" s="3">
        <v>-40</v>
      </c>
      <c r="H23" s="1">
        <v>22</v>
      </c>
      <c r="I23">
        <v>-39</v>
      </c>
      <c r="J23">
        <v>-34</v>
      </c>
      <c r="K23">
        <v>-38</v>
      </c>
      <c r="L23">
        <v>-37</v>
      </c>
      <c r="M23">
        <v>-39</v>
      </c>
    </row>
    <row r="24" spans="1:13" x14ac:dyDescent="0.2">
      <c r="A24" s="2">
        <v>23</v>
      </c>
      <c r="B24" s="3">
        <v>-38</v>
      </c>
      <c r="C24" s="3">
        <v>-31</v>
      </c>
      <c r="D24" s="3">
        <v>-34</v>
      </c>
      <c r="E24" s="3">
        <v>-37</v>
      </c>
      <c r="F24" s="3">
        <v>-39</v>
      </c>
      <c r="H24" s="1">
        <v>23</v>
      </c>
      <c r="I24">
        <v>-39</v>
      </c>
      <c r="J24">
        <v>-34</v>
      </c>
      <c r="K24">
        <v>-34</v>
      </c>
      <c r="L24">
        <v>-38</v>
      </c>
      <c r="M24">
        <v>-39</v>
      </c>
    </row>
    <row r="25" spans="1:13" x14ac:dyDescent="0.2">
      <c r="A25" s="2">
        <v>24</v>
      </c>
      <c r="B25" s="3">
        <v>-38</v>
      </c>
      <c r="C25" s="3">
        <v>-32</v>
      </c>
      <c r="D25" s="3">
        <v>-35</v>
      </c>
      <c r="E25" s="3">
        <v>-37</v>
      </c>
      <c r="F25" s="3">
        <v>-40</v>
      </c>
      <c r="H25" s="1">
        <v>24</v>
      </c>
      <c r="I25">
        <v>-39</v>
      </c>
      <c r="J25">
        <v>-34</v>
      </c>
      <c r="K25">
        <v>-34</v>
      </c>
      <c r="L25">
        <v>-38</v>
      </c>
      <c r="M25">
        <v>-40</v>
      </c>
    </row>
    <row r="26" spans="1:13" x14ac:dyDescent="0.2">
      <c r="A26" s="2">
        <v>25</v>
      </c>
      <c r="B26" s="3">
        <v>-39</v>
      </c>
      <c r="C26" s="3">
        <v>-32</v>
      </c>
      <c r="D26" s="3">
        <v>-35</v>
      </c>
      <c r="E26" s="3">
        <v>-38</v>
      </c>
      <c r="F26" s="3">
        <v>-41</v>
      </c>
      <c r="H26" s="1">
        <v>25</v>
      </c>
      <c r="I26">
        <v>-40</v>
      </c>
      <c r="J26">
        <v>-34</v>
      </c>
      <c r="K26">
        <v>-33</v>
      </c>
      <c r="L26">
        <v>-38</v>
      </c>
      <c r="M26">
        <v>-39</v>
      </c>
    </row>
    <row r="27" spans="1:13" x14ac:dyDescent="0.2">
      <c r="A27" s="2">
        <v>26</v>
      </c>
      <c r="B27" s="3">
        <v>-38</v>
      </c>
      <c r="C27" s="3">
        <v>-33</v>
      </c>
      <c r="D27" s="3">
        <v>-35</v>
      </c>
      <c r="E27" s="3">
        <v>-37</v>
      </c>
      <c r="F27" s="3">
        <v>-40</v>
      </c>
      <c r="H27" s="1">
        <v>26</v>
      </c>
      <c r="I27">
        <v>-40</v>
      </c>
      <c r="J27">
        <v>-33</v>
      </c>
      <c r="K27">
        <v>-34</v>
      </c>
      <c r="L27">
        <v>-38</v>
      </c>
      <c r="M27">
        <v>-39</v>
      </c>
    </row>
    <row r="28" spans="1:13" x14ac:dyDescent="0.2">
      <c r="A28" s="2">
        <v>27</v>
      </c>
      <c r="B28" s="3">
        <v>-38</v>
      </c>
      <c r="C28" s="3">
        <v>-33</v>
      </c>
      <c r="D28" s="3">
        <v>-35</v>
      </c>
      <c r="E28" s="3">
        <v>-37</v>
      </c>
      <c r="F28" s="3">
        <v>-40</v>
      </c>
      <c r="H28" s="1">
        <v>27</v>
      </c>
      <c r="I28">
        <v>-39</v>
      </c>
      <c r="J28">
        <v>-34</v>
      </c>
      <c r="K28">
        <v>-34</v>
      </c>
      <c r="L28">
        <v>-38</v>
      </c>
      <c r="M28">
        <v>-39</v>
      </c>
    </row>
    <row r="29" spans="1:13" x14ac:dyDescent="0.2">
      <c r="A29" s="2">
        <v>28</v>
      </c>
      <c r="B29" s="3">
        <v>-37</v>
      </c>
      <c r="C29" s="3">
        <v>-33</v>
      </c>
      <c r="D29" s="3">
        <v>-35</v>
      </c>
      <c r="E29" s="3">
        <v>-38</v>
      </c>
      <c r="F29" s="3">
        <v>-40</v>
      </c>
      <c r="H29" s="1">
        <v>28</v>
      </c>
      <c r="I29">
        <v>-40</v>
      </c>
      <c r="J29">
        <v>-33</v>
      </c>
      <c r="K29">
        <v>-35</v>
      </c>
      <c r="L29" s="6"/>
      <c r="M29">
        <v>-39</v>
      </c>
    </row>
    <row r="30" spans="1:13" x14ac:dyDescent="0.2">
      <c r="A30" s="2">
        <v>29</v>
      </c>
      <c r="B30" s="3">
        <v>-36</v>
      </c>
      <c r="C30" s="3">
        <v>-32</v>
      </c>
      <c r="D30" s="3">
        <v>-35</v>
      </c>
      <c r="E30" s="3">
        <v>-37</v>
      </c>
      <c r="F30" s="3">
        <v>-40</v>
      </c>
      <c r="H30" s="1">
        <v>29</v>
      </c>
      <c r="I30">
        <v>-39</v>
      </c>
      <c r="J30">
        <v>-34</v>
      </c>
      <c r="K30">
        <v>-35</v>
      </c>
      <c r="L30">
        <v>-39</v>
      </c>
      <c r="M30">
        <v>-39</v>
      </c>
    </row>
    <row r="31" spans="1:13" x14ac:dyDescent="0.2">
      <c r="A31" s="2">
        <v>30</v>
      </c>
      <c r="B31" s="3">
        <v>-38</v>
      </c>
      <c r="C31" s="3">
        <v>-35</v>
      </c>
      <c r="D31" s="3">
        <v>-35</v>
      </c>
      <c r="E31" s="3">
        <v>-38</v>
      </c>
      <c r="F31" s="3">
        <v>-40</v>
      </c>
      <c r="H31" s="1">
        <v>30</v>
      </c>
      <c r="I31">
        <v>-39</v>
      </c>
      <c r="J31">
        <v>-35</v>
      </c>
      <c r="K31">
        <v>-35</v>
      </c>
      <c r="L31">
        <v>-41</v>
      </c>
      <c r="M31">
        <v>-38</v>
      </c>
    </row>
    <row r="34" spans="1:20" x14ac:dyDescent="0.2">
      <c r="A34" s="1" t="s">
        <v>2</v>
      </c>
      <c r="B34">
        <f>AVERAGE(B2:B31)</f>
        <v>-38.299999999999997</v>
      </c>
      <c r="C34">
        <f t="shared" ref="C34:M34" si="0">AVERAGE(C2:C31)</f>
        <v>-32.758620689655174</v>
      </c>
      <c r="D34">
        <f t="shared" si="0"/>
        <v>-34.931034482758619</v>
      </c>
      <c r="E34">
        <f t="shared" si="0"/>
        <v>-37.5</v>
      </c>
      <c r="F34">
        <f t="shared" si="0"/>
        <v>-40.200000000000003</v>
      </c>
      <c r="I34">
        <f t="shared" si="0"/>
        <v>-39.413793103448278</v>
      </c>
      <c r="J34">
        <f t="shared" si="0"/>
        <v>-35.5</v>
      </c>
      <c r="K34">
        <f t="shared" si="0"/>
        <v>-34.43333333333333</v>
      </c>
      <c r="L34">
        <f t="shared" si="0"/>
        <v>-38.103448275862071</v>
      </c>
      <c r="M34">
        <f t="shared" si="0"/>
        <v>-39.655172413793103</v>
      </c>
    </row>
    <row r="35" spans="1:20" x14ac:dyDescent="0.2">
      <c r="A35" s="1" t="s">
        <v>3</v>
      </c>
      <c r="B35">
        <f>STDEV(B2:B31)</f>
        <v>0.70221324985780631</v>
      </c>
      <c r="C35">
        <f t="shared" ref="C35:M35" si="1">STDEV(C2:C31)</f>
        <v>1.3798336445744133</v>
      </c>
      <c r="D35">
        <f t="shared" si="1"/>
        <v>0.7987058497862396</v>
      </c>
      <c r="E35">
        <f t="shared" si="1"/>
        <v>0.73108327748669621</v>
      </c>
      <c r="F35">
        <f t="shared" si="1"/>
        <v>0.48423419811150215</v>
      </c>
      <c r="I35">
        <f t="shared" si="1"/>
        <v>0.73276586493086737</v>
      </c>
      <c r="J35">
        <f t="shared" si="1"/>
        <v>1.408104619937615</v>
      </c>
      <c r="K35">
        <f t="shared" si="1"/>
        <v>1.0400044208570938</v>
      </c>
      <c r="L35">
        <f t="shared" si="1"/>
        <v>0.85960238259187904</v>
      </c>
      <c r="M35">
        <f t="shared" si="1"/>
        <v>0.89745123500490098</v>
      </c>
    </row>
    <row r="38" spans="1:20" x14ac:dyDescent="0.2">
      <c r="B38" s="12" t="s">
        <v>21</v>
      </c>
      <c r="C38" s="12"/>
      <c r="D38" s="12"/>
      <c r="F38" s="12" t="s">
        <v>36</v>
      </c>
      <c r="G38" s="12"/>
      <c r="H38" s="12"/>
      <c r="J38" s="12" t="s">
        <v>39</v>
      </c>
      <c r="K38" s="12"/>
      <c r="L38" s="12"/>
      <c r="N38" s="12" t="s">
        <v>45</v>
      </c>
      <c r="O38" s="12"/>
      <c r="P38" s="12"/>
      <c r="R38" s="12" t="s">
        <v>54</v>
      </c>
      <c r="S38" s="12"/>
      <c r="T38" s="12"/>
    </row>
    <row r="39" spans="1:20" ht="17" thickBot="1" x14ac:dyDescent="0.25"/>
    <row r="40" spans="1:20" x14ac:dyDescent="0.2">
      <c r="B40" s="10"/>
      <c r="C40" s="10" t="s">
        <v>12</v>
      </c>
      <c r="D40" s="10" t="s">
        <v>13</v>
      </c>
      <c r="F40" s="10"/>
      <c r="G40" s="10" t="s">
        <v>12</v>
      </c>
      <c r="H40" s="10" t="s">
        <v>13</v>
      </c>
      <c r="J40" s="10"/>
      <c r="K40" s="10" t="s">
        <v>12</v>
      </c>
      <c r="L40" s="10" t="s">
        <v>13</v>
      </c>
      <c r="N40" s="10"/>
      <c r="O40" s="10" t="s">
        <v>12</v>
      </c>
      <c r="P40" s="10" t="s">
        <v>13</v>
      </c>
      <c r="R40" s="10"/>
      <c r="S40" s="10" t="s">
        <v>12</v>
      </c>
      <c r="T40" s="10" t="s">
        <v>13</v>
      </c>
    </row>
    <row r="41" spans="1:20" x14ac:dyDescent="0.2">
      <c r="B41" s="8" t="s">
        <v>14</v>
      </c>
      <c r="C41" s="8">
        <v>-34.43333333333333</v>
      </c>
      <c r="D41" s="8">
        <v>-34.931034482758619</v>
      </c>
      <c r="F41" s="8" t="s">
        <v>14</v>
      </c>
      <c r="G41" s="8">
        <v>-38.103448275862071</v>
      </c>
      <c r="H41" s="8">
        <v>-37.5</v>
      </c>
      <c r="J41" s="8" t="s">
        <v>14</v>
      </c>
      <c r="K41" s="8">
        <v>-39.655172413793103</v>
      </c>
      <c r="L41" s="8">
        <v>-40.200000000000003</v>
      </c>
      <c r="N41" s="8" t="s">
        <v>14</v>
      </c>
      <c r="O41" s="8">
        <v>-35.5</v>
      </c>
      <c r="P41" s="8">
        <v>-32.758620689655174</v>
      </c>
      <c r="R41" s="8" t="s">
        <v>14</v>
      </c>
      <c r="S41" s="8">
        <v>-39.413793103448278</v>
      </c>
      <c r="T41" s="8">
        <v>-38.299999999999997</v>
      </c>
    </row>
    <row r="42" spans="1:20" x14ac:dyDescent="0.2">
      <c r="B42" s="8" t="s">
        <v>15</v>
      </c>
      <c r="C42" s="8">
        <v>1.0816091954022991</v>
      </c>
      <c r="D42" s="8">
        <v>0.63793103448275912</v>
      </c>
      <c r="F42" s="8" t="s">
        <v>15</v>
      </c>
      <c r="G42" s="8">
        <v>0.73891625615763523</v>
      </c>
      <c r="H42" s="8">
        <v>0.53448275862068961</v>
      </c>
      <c r="J42" s="8" t="s">
        <v>15</v>
      </c>
      <c r="K42" s="8">
        <v>0.80541871921182207</v>
      </c>
      <c r="L42" s="8">
        <v>0.23448275862068949</v>
      </c>
      <c r="N42" s="8" t="s">
        <v>15</v>
      </c>
      <c r="O42" s="8">
        <v>1.9827586206896552</v>
      </c>
      <c r="P42" s="8">
        <v>1.9039408866995082</v>
      </c>
      <c r="R42" s="8" t="s">
        <v>15</v>
      </c>
      <c r="S42" s="8">
        <v>0.53694581280788223</v>
      </c>
      <c r="T42" s="8">
        <v>0.49310344827586189</v>
      </c>
    </row>
    <row r="43" spans="1:20" x14ac:dyDescent="0.2">
      <c r="B43" s="8" t="s">
        <v>16</v>
      </c>
      <c r="C43" s="8">
        <v>30</v>
      </c>
      <c r="D43" s="8">
        <v>29</v>
      </c>
      <c r="F43" s="8" t="s">
        <v>16</v>
      </c>
      <c r="G43" s="8">
        <v>29</v>
      </c>
      <c r="H43" s="8">
        <v>30</v>
      </c>
      <c r="J43" s="8" t="s">
        <v>16</v>
      </c>
      <c r="K43" s="8">
        <v>29</v>
      </c>
      <c r="L43" s="8">
        <v>30</v>
      </c>
      <c r="N43" s="8" t="s">
        <v>16</v>
      </c>
      <c r="O43" s="8">
        <v>30</v>
      </c>
      <c r="P43" s="8">
        <v>29</v>
      </c>
      <c r="R43" s="8" t="s">
        <v>16</v>
      </c>
      <c r="S43" s="8">
        <v>29</v>
      </c>
      <c r="T43" s="8">
        <v>30</v>
      </c>
    </row>
    <row r="44" spans="1:20" x14ac:dyDescent="0.2">
      <c r="B44" s="8" t="s">
        <v>17</v>
      </c>
      <c r="C44" s="8">
        <v>29</v>
      </c>
      <c r="D44" s="8">
        <v>28</v>
      </c>
      <c r="F44" s="8" t="s">
        <v>17</v>
      </c>
      <c r="G44" s="8">
        <v>28</v>
      </c>
      <c r="H44" s="8">
        <v>29</v>
      </c>
      <c r="J44" s="8" t="s">
        <v>17</v>
      </c>
      <c r="K44" s="8">
        <v>28</v>
      </c>
      <c r="L44" s="8">
        <v>29</v>
      </c>
      <c r="N44" s="8" t="s">
        <v>17</v>
      </c>
      <c r="O44" s="8">
        <v>29</v>
      </c>
      <c r="P44" s="8">
        <v>28</v>
      </c>
      <c r="R44" s="8" t="s">
        <v>17</v>
      </c>
      <c r="S44" s="8">
        <v>28</v>
      </c>
      <c r="T44" s="8">
        <v>29</v>
      </c>
    </row>
    <row r="45" spans="1:20" x14ac:dyDescent="0.2">
      <c r="B45" s="8" t="s">
        <v>18</v>
      </c>
      <c r="C45" s="8">
        <v>1.6954954954954944</v>
      </c>
      <c r="D45" s="8"/>
      <c r="F45" s="8" t="s">
        <v>18</v>
      </c>
      <c r="G45" s="8">
        <v>1.3824884792626724</v>
      </c>
      <c r="H45" s="8"/>
      <c r="J45" s="8" t="s">
        <v>18</v>
      </c>
      <c r="K45" s="8">
        <v>3.4348739495798317</v>
      </c>
      <c r="L45" s="8"/>
      <c r="N45" s="8" t="s">
        <v>18</v>
      </c>
      <c r="O45" s="8">
        <v>1.0413971539456659</v>
      </c>
      <c r="P45" s="8"/>
      <c r="R45" s="8" t="s">
        <v>18</v>
      </c>
      <c r="S45" s="8">
        <v>1.0889110889110902</v>
      </c>
      <c r="T45" s="8"/>
    </row>
    <row r="46" spans="1:20" x14ac:dyDescent="0.2">
      <c r="B46" s="8" t="s">
        <v>19</v>
      </c>
      <c r="C46" s="8">
        <v>8.3091903072798692E-2</v>
      </c>
      <c r="D46" s="8"/>
      <c r="F46" s="8" t="s">
        <v>19</v>
      </c>
      <c r="G46" s="8">
        <v>0.1954420536124577</v>
      </c>
      <c r="H46" s="8"/>
      <c r="J46" s="8" t="s">
        <v>19</v>
      </c>
      <c r="K46" s="8">
        <v>7.2971196863056624E-4</v>
      </c>
      <c r="L46" s="8"/>
      <c r="N46" s="8" t="s">
        <v>19</v>
      </c>
      <c r="O46" s="8">
        <v>0.4581507725996164</v>
      </c>
      <c r="P46" s="8"/>
      <c r="R46" s="8" t="s">
        <v>19</v>
      </c>
      <c r="S46" s="8">
        <v>0.40999116806515129</v>
      </c>
      <c r="T46" s="8"/>
    </row>
    <row r="47" spans="1:20" ht="17" thickBot="1" x14ac:dyDescent="0.25">
      <c r="B47" s="9" t="s">
        <v>20</v>
      </c>
      <c r="C47" s="9">
        <v>1.8751882460043612</v>
      </c>
      <c r="D47" s="9"/>
      <c r="F47" s="9" t="s">
        <v>20</v>
      </c>
      <c r="G47" s="9">
        <v>1.8677435168174756</v>
      </c>
      <c r="H47" s="9"/>
      <c r="J47" s="9" t="s">
        <v>20</v>
      </c>
      <c r="K47" s="9">
        <v>1.8677435168174756</v>
      </c>
      <c r="L47" s="9"/>
      <c r="N47" s="9" t="s">
        <v>20</v>
      </c>
      <c r="O47" s="9">
        <v>1.8751882460043612</v>
      </c>
      <c r="P47" s="9"/>
      <c r="R47" s="9" t="s">
        <v>20</v>
      </c>
      <c r="S47" s="9">
        <v>1.8677435168174756</v>
      </c>
      <c r="T47" s="9"/>
    </row>
    <row r="49" spans="2:20" x14ac:dyDescent="0.2">
      <c r="B49" t="s">
        <v>22</v>
      </c>
      <c r="F49" t="s">
        <v>22</v>
      </c>
      <c r="J49" t="s">
        <v>46</v>
      </c>
      <c r="N49" t="s">
        <v>22</v>
      </c>
      <c r="R49" t="s">
        <v>22</v>
      </c>
    </row>
    <row r="50" spans="2:20" x14ac:dyDescent="0.2">
      <c r="B50" t="s">
        <v>23</v>
      </c>
      <c r="F50" t="s">
        <v>35</v>
      </c>
      <c r="J50" s="11" t="s">
        <v>47</v>
      </c>
      <c r="N50" t="s">
        <v>48</v>
      </c>
      <c r="R50" t="s">
        <v>55</v>
      </c>
    </row>
    <row r="52" spans="2:20" x14ac:dyDescent="0.2">
      <c r="B52" s="12" t="s">
        <v>24</v>
      </c>
      <c r="C52" s="12"/>
      <c r="D52" s="12"/>
      <c r="F52" s="12" t="s">
        <v>24</v>
      </c>
      <c r="G52" s="12"/>
      <c r="H52" s="12"/>
      <c r="J52" t="s">
        <v>52</v>
      </c>
      <c r="N52" t="s">
        <v>24</v>
      </c>
      <c r="R52" s="12" t="s">
        <v>24</v>
      </c>
      <c r="S52" s="12"/>
      <c r="T52" s="12"/>
    </row>
    <row r="53" spans="2:20" ht="17" thickBot="1" x14ac:dyDescent="0.25"/>
    <row r="54" spans="2:20" x14ac:dyDescent="0.2">
      <c r="B54" s="10"/>
      <c r="C54" s="10" t="s">
        <v>12</v>
      </c>
      <c r="D54" s="10" t="s">
        <v>13</v>
      </c>
      <c r="F54" s="10"/>
      <c r="G54" s="10" t="s">
        <v>12</v>
      </c>
      <c r="H54" s="10" t="s">
        <v>13</v>
      </c>
      <c r="J54" s="10"/>
      <c r="K54" s="10" t="s">
        <v>12</v>
      </c>
      <c r="L54" s="10" t="s">
        <v>13</v>
      </c>
      <c r="N54" s="10"/>
      <c r="O54" s="10" t="s">
        <v>12</v>
      </c>
      <c r="P54" s="10" t="s">
        <v>13</v>
      </c>
      <c r="R54" s="10"/>
      <c r="S54" s="10" t="s">
        <v>12</v>
      </c>
      <c r="T54" s="10" t="s">
        <v>13</v>
      </c>
    </row>
    <row r="55" spans="2:20" x14ac:dyDescent="0.2">
      <c r="B55" s="8" t="s">
        <v>14</v>
      </c>
      <c r="C55" s="8">
        <v>-34.43333333333333</v>
      </c>
      <c r="D55" s="8">
        <v>-34.931034482758619</v>
      </c>
      <c r="F55" s="8" t="s">
        <v>14</v>
      </c>
      <c r="G55" s="8">
        <v>-38.103448275862071</v>
      </c>
      <c r="H55" s="8">
        <v>-37.5</v>
      </c>
      <c r="J55" s="8" t="s">
        <v>14</v>
      </c>
      <c r="K55" s="8">
        <v>-39.655172413793103</v>
      </c>
      <c r="L55" s="8">
        <v>-40.200000000000003</v>
      </c>
      <c r="N55" s="8" t="s">
        <v>14</v>
      </c>
      <c r="O55" s="8">
        <v>-35.5</v>
      </c>
      <c r="P55" s="8">
        <v>-32.758620689655174</v>
      </c>
      <c r="R55" s="8" t="s">
        <v>14</v>
      </c>
      <c r="S55" s="8">
        <v>-39.413793103448278</v>
      </c>
      <c r="T55" s="8">
        <v>-38.299999999999997</v>
      </c>
    </row>
    <row r="56" spans="2:20" x14ac:dyDescent="0.2">
      <c r="B56" s="8" t="s">
        <v>15</v>
      </c>
      <c r="C56" s="8">
        <v>1.0816091954022991</v>
      </c>
      <c r="D56" s="8">
        <v>0.63793103448275912</v>
      </c>
      <c r="F56" s="8" t="s">
        <v>15</v>
      </c>
      <c r="G56" s="8">
        <v>0.73891625615763523</v>
      </c>
      <c r="H56" s="8">
        <v>0.53448275862068961</v>
      </c>
      <c r="J56" s="8" t="s">
        <v>15</v>
      </c>
      <c r="K56" s="8">
        <v>0.80541871921182207</v>
      </c>
      <c r="L56" s="8">
        <v>0.23448275862068949</v>
      </c>
      <c r="N56" s="8" t="s">
        <v>15</v>
      </c>
      <c r="O56" s="8">
        <v>1.9827586206896552</v>
      </c>
      <c r="P56" s="8">
        <v>1.9039408866995082</v>
      </c>
      <c r="R56" s="8" t="s">
        <v>15</v>
      </c>
      <c r="S56" s="8">
        <v>0.53694581280788223</v>
      </c>
      <c r="T56" s="8">
        <v>0.49310344827586189</v>
      </c>
    </row>
    <row r="57" spans="2:20" x14ac:dyDescent="0.2">
      <c r="B57" s="8" t="s">
        <v>16</v>
      </c>
      <c r="C57" s="8">
        <v>30</v>
      </c>
      <c r="D57" s="8">
        <v>29</v>
      </c>
      <c r="F57" s="8" t="s">
        <v>16</v>
      </c>
      <c r="G57" s="8">
        <v>29</v>
      </c>
      <c r="H57" s="8">
        <v>30</v>
      </c>
      <c r="J57" s="8" t="s">
        <v>16</v>
      </c>
      <c r="K57" s="8">
        <v>29</v>
      </c>
      <c r="L57" s="8">
        <v>30</v>
      </c>
      <c r="N57" s="8" t="s">
        <v>16</v>
      </c>
      <c r="O57" s="8">
        <v>30</v>
      </c>
      <c r="P57" s="8">
        <v>29</v>
      </c>
      <c r="R57" s="8" t="s">
        <v>16</v>
      </c>
      <c r="S57" s="8">
        <v>29</v>
      </c>
      <c r="T57" s="8">
        <v>30</v>
      </c>
    </row>
    <row r="58" spans="2:20" x14ac:dyDescent="0.2">
      <c r="B58" s="8" t="s">
        <v>25</v>
      </c>
      <c r="C58" s="8">
        <v>0.86366202863480579</v>
      </c>
      <c r="D58" s="8"/>
      <c r="F58" s="8" t="s">
        <v>25</v>
      </c>
      <c r="G58" s="8">
        <v>0.63490623109497868</v>
      </c>
      <c r="H58" s="8"/>
      <c r="J58" s="8" t="s">
        <v>26</v>
      </c>
      <c r="K58" s="8">
        <v>0</v>
      </c>
      <c r="L58" s="8"/>
      <c r="N58" s="8" t="s">
        <v>25</v>
      </c>
      <c r="O58" s="8">
        <v>1.944041137326074</v>
      </c>
      <c r="P58" s="8"/>
      <c r="R58" s="8" t="s">
        <v>25</v>
      </c>
      <c r="S58" s="8">
        <v>0.5146400483968544</v>
      </c>
      <c r="T58" s="8"/>
    </row>
    <row r="59" spans="2:20" x14ac:dyDescent="0.2">
      <c r="B59" s="8" t="s">
        <v>26</v>
      </c>
      <c r="C59" s="8">
        <v>0</v>
      </c>
      <c r="D59" s="8"/>
      <c r="F59" s="8" t="s">
        <v>26</v>
      </c>
      <c r="G59" s="8">
        <v>0</v>
      </c>
      <c r="H59" s="8"/>
      <c r="J59" s="8" t="s">
        <v>17</v>
      </c>
      <c r="K59" s="8">
        <v>43</v>
      </c>
      <c r="L59" s="8"/>
      <c r="N59" s="8" t="s">
        <v>26</v>
      </c>
      <c r="O59" s="8">
        <v>0</v>
      </c>
      <c r="P59" s="8"/>
      <c r="R59" s="8" t="s">
        <v>26</v>
      </c>
      <c r="S59" s="8">
        <v>0</v>
      </c>
      <c r="T59" s="8"/>
    </row>
    <row r="60" spans="2:20" x14ac:dyDescent="0.2">
      <c r="B60" s="8" t="s">
        <v>17</v>
      </c>
      <c r="C60" s="8">
        <v>57</v>
      </c>
      <c r="D60" s="8"/>
      <c r="F60" s="8" t="s">
        <v>17</v>
      </c>
      <c r="G60" s="8">
        <v>57</v>
      </c>
      <c r="H60" s="8"/>
      <c r="J60" s="8" t="s">
        <v>27</v>
      </c>
      <c r="K60" s="8">
        <v>2.8880205137204165</v>
      </c>
      <c r="L60" s="8"/>
      <c r="N60" s="8" t="s">
        <v>17</v>
      </c>
      <c r="O60" s="8">
        <v>57</v>
      </c>
      <c r="P60" s="8"/>
      <c r="R60" s="8" t="s">
        <v>17</v>
      </c>
      <c r="S60" s="8">
        <v>57</v>
      </c>
      <c r="T60" s="8"/>
    </row>
    <row r="61" spans="2:20" x14ac:dyDescent="0.2">
      <c r="B61" s="8" t="s">
        <v>27</v>
      </c>
      <c r="C61" s="8">
        <v>2.0565077533700076</v>
      </c>
      <c r="D61" s="8"/>
      <c r="F61" s="8" t="s">
        <v>27</v>
      </c>
      <c r="G61" s="8">
        <v>-2.9081638832808276</v>
      </c>
      <c r="H61" s="8"/>
      <c r="J61" s="8" t="s">
        <v>28</v>
      </c>
      <c r="K61" s="8">
        <v>3.0233109403182698E-3</v>
      </c>
      <c r="L61" s="8"/>
      <c r="N61" s="8" t="s">
        <v>27</v>
      </c>
      <c r="O61" s="8">
        <v>-7.5500534450474319</v>
      </c>
      <c r="P61" s="8"/>
      <c r="R61" s="8" t="s">
        <v>27</v>
      </c>
      <c r="S61" s="8">
        <v>-5.9619228985868622</v>
      </c>
      <c r="T61" s="8"/>
    </row>
    <row r="62" spans="2:20" x14ac:dyDescent="0.2">
      <c r="B62" s="8" t="s">
        <v>28</v>
      </c>
      <c r="C62" s="8">
        <v>2.2160842156126435E-2</v>
      </c>
      <c r="D62" s="8"/>
      <c r="F62" s="8" t="s">
        <v>28</v>
      </c>
      <c r="G62" s="8">
        <v>2.5867124933989984E-3</v>
      </c>
      <c r="H62" s="8"/>
      <c r="J62" s="8" t="s">
        <v>29</v>
      </c>
      <c r="K62" s="8">
        <v>1.6810707032025196</v>
      </c>
      <c r="L62" s="8"/>
      <c r="N62" s="8" t="s">
        <v>28</v>
      </c>
      <c r="O62" s="8">
        <v>1.9265521094531345E-10</v>
      </c>
      <c r="P62" s="8"/>
      <c r="R62" s="8" t="s">
        <v>28</v>
      </c>
      <c r="S62" s="8">
        <v>8.3019241813400046E-8</v>
      </c>
      <c r="T62" s="8"/>
    </row>
    <row r="63" spans="2:20" x14ac:dyDescent="0.2">
      <c r="B63" s="8" t="s">
        <v>29</v>
      </c>
      <c r="C63" s="8">
        <v>1.6720288884609551</v>
      </c>
      <c r="D63" s="8"/>
      <c r="F63" s="8" t="s">
        <v>29</v>
      </c>
      <c r="G63" s="8">
        <v>1.6720288884609551</v>
      </c>
      <c r="H63" s="8"/>
      <c r="J63" s="8" t="s">
        <v>30</v>
      </c>
      <c r="K63" s="8">
        <v>6.0466218806365397E-3</v>
      </c>
      <c r="L63" s="8"/>
      <c r="N63" s="8" t="s">
        <v>29</v>
      </c>
      <c r="O63" s="8">
        <v>1.6720288884609551</v>
      </c>
      <c r="P63" s="8"/>
      <c r="R63" s="8" t="s">
        <v>29</v>
      </c>
      <c r="S63" s="8">
        <v>1.6720288884609551</v>
      </c>
      <c r="T63" s="8"/>
    </row>
    <row r="64" spans="2:20" ht="17" thickBot="1" x14ac:dyDescent="0.25">
      <c r="B64" s="8" t="s">
        <v>30</v>
      </c>
      <c r="C64" s="8">
        <v>4.4321684312252869E-2</v>
      </c>
      <c r="D64" s="8"/>
      <c r="F64" s="8" t="s">
        <v>30</v>
      </c>
      <c r="G64" s="8">
        <v>5.1734249867979969E-3</v>
      </c>
      <c r="H64" s="8"/>
      <c r="J64" s="9" t="s">
        <v>31</v>
      </c>
      <c r="K64" s="9">
        <v>2.0166921992278248</v>
      </c>
      <c r="L64" s="9"/>
      <c r="N64" s="8" t="s">
        <v>30</v>
      </c>
      <c r="O64" s="8">
        <v>3.8531042189062691E-10</v>
      </c>
      <c r="P64" s="8"/>
      <c r="R64" s="8" t="s">
        <v>30</v>
      </c>
      <c r="S64" s="8">
        <v>1.6603848362680009E-7</v>
      </c>
      <c r="T64" s="8"/>
    </row>
    <row r="65" spans="2:20" ht="17" thickBot="1" x14ac:dyDescent="0.25">
      <c r="B65" s="9" t="s">
        <v>31</v>
      </c>
      <c r="C65" s="9">
        <v>2.0024654592910065</v>
      </c>
      <c r="D65" s="9"/>
      <c r="F65" s="9" t="s">
        <v>31</v>
      </c>
      <c r="G65" s="9">
        <v>2.0024654592910065</v>
      </c>
      <c r="H65" s="9"/>
      <c r="N65" s="9" t="s">
        <v>31</v>
      </c>
      <c r="O65" s="9">
        <v>2.0024654592910065</v>
      </c>
      <c r="P65" s="9"/>
      <c r="R65" s="9" t="s">
        <v>31</v>
      </c>
      <c r="S65" s="9">
        <v>2.0024654592910065</v>
      </c>
      <c r="T65" s="9"/>
    </row>
    <row r="67" spans="2:20" x14ac:dyDescent="0.2">
      <c r="B67" t="s">
        <v>44</v>
      </c>
      <c r="F67" t="s">
        <v>37</v>
      </c>
      <c r="J67" t="s">
        <v>53</v>
      </c>
      <c r="N67" t="s">
        <v>49</v>
      </c>
      <c r="R67" t="s">
        <v>49</v>
      </c>
    </row>
    <row r="68" spans="2:20" x14ac:dyDescent="0.2">
      <c r="B68" t="s">
        <v>32</v>
      </c>
      <c r="F68" t="s">
        <v>41</v>
      </c>
      <c r="J68" t="s">
        <v>50</v>
      </c>
      <c r="N68" t="s">
        <v>50</v>
      </c>
      <c r="R68" t="s">
        <v>56</v>
      </c>
    </row>
    <row r="69" spans="2:20" x14ac:dyDescent="0.2">
      <c r="B69" t="s">
        <v>43</v>
      </c>
      <c r="N69" t="s">
        <v>51</v>
      </c>
      <c r="R69" t="s">
        <v>51</v>
      </c>
    </row>
    <row r="70" spans="2:20" x14ac:dyDescent="0.2">
      <c r="B70" t="s">
        <v>33</v>
      </c>
      <c r="J70" t="s">
        <v>42</v>
      </c>
    </row>
    <row r="71" spans="2:20" x14ac:dyDescent="0.2">
      <c r="F71" t="s">
        <v>40</v>
      </c>
    </row>
    <row r="72" spans="2:20" x14ac:dyDescent="0.2">
      <c r="B72" t="s">
        <v>34</v>
      </c>
      <c r="F72" t="s">
        <v>38</v>
      </c>
      <c r="N72" t="s">
        <v>58</v>
      </c>
      <c r="R72" t="s">
        <v>57</v>
      </c>
    </row>
    <row r="73" spans="2:20" x14ac:dyDescent="0.2">
      <c r="N73" t="s">
        <v>59</v>
      </c>
      <c r="R73" t="s">
        <v>59</v>
      </c>
    </row>
    <row r="75" spans="2:20" x14ac:dyDescent="0.2">
      <c r="B75" t="s">
        <v>60</v>
      </c>
    </row>
  </sheetData>
  <mergeCells count="8">
    <mergeCell ref="N38:P38"/>
    <mergeCell ref="R38:T38"/>
    <mergeCell ref="R52:T52"/>
    <mergeCell ref="B38:D38"/>
    <mergeCell ref="B52:D52"/>
    <mergeCell ref="F38:H38"/>
    <mergeCell ref="F52:H52"/>
    <mergeCell ref="J38:L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- No Reflector</vt:lpstr>
      <vt:lpstr>Raw - Reflector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Mickey Minh Dang</dc:creator>
  <cp:lastModifiedBy>Mickey Minh Dang</cp:lastModifiedBy>
  <dcterms:created xsi:type="dcterms:W3CDTF">2021-03-23T04:55:58Z</dcterms:created>
  <dcterms:modified xsi:type="dcterms:W3CDTF">2021-03-26T05:26:18Z</dcterms:modified>
</cp:coreProperties>
</file>